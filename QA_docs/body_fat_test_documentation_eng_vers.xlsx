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jupyter\Fat_calc\"/>
    </mc:Choice>
  </mc:AlternateContent>
  <bookViews>
    <workbookView xWindow="0" yWindow="0" windowWidth="19200" windowHeight="7050" activeTab="2"/>
  </bookViews>
  <sheets>
    <sheet name="Тест-план" sheetId="1" r:id="rId1"/>
    <sheet name="Чек-лист" sheetId="2" r:id="rId2"/>
    <sheet name="Excel vs. Calculator" sheetId="5" r:id="rId3"/>
    <sheet name="Тест-кейсы" sheetId="3" r:id="rId4"/>
    <sheet name="Баг-репорт" sheetId="4" r:id="rId5"/>
  </sheets>
  <calcPr calcId="162913"/>
</workbook>
</file>

<file path=xl/calcChain.xml><?xml version="1.0" encoding="utf-8"?>
<calcChain xmlns="http://schemas.openxmlformats.org/spreadsheetml/2006/main">
  <c r="B11" i="5" l="1"/>
  <c r="B10" i="5"/>
</calcChain>
</file>

<file path=xl/sharedStrings.xml><?xml version="1.0" encoding="utf-8"?>
<sst xmlns="http://schemas.openxmlformats.org/spreadsheetml/2006/main" count="161" uniqueCount="113">
  <si>
    <t>Ожидаемый результат</t>
  </si>
  <si>
    <t>ID</t>
  </si>
  <si>
    <t>Статус</t>
  </si>
  <si>
    <t>Ввести 80 кг, 180 см, 30 лет, Мужчина и нажать 'Calculate'</t>
  </si>
  <si>
    <t>Корректный процент жира и категория</t>
  </si>
  <si>
    <t>Ожидает теста</t>
  </si>
  <si>
    <t>Ввести 60 кг, 165 см, 25 лет, Женщина и нажать 'Calculate'</t>
  </si>
  <si>
    <t>Граничные значения (вес 300 кг, рост 250 см)</t>
  </si>
  <si>
    <t>Ввести 300 кг, 250 см, 50 лет, Мужчина и нажать 'Calculate'</t>
  </si>
  <si>
    <t>Ошибка или допустимое значение</t>
  </si>
  <si>
    <t>Граничные значения (вес 30 кг, рост 100 см)</t>
  </si>
  <si>
    <t>Ввести 'abc' в поле 'вес', остальные оставить корректными</t>
  </si>
  <si>
    <t>Ошибка ввода</t>
  </si>
  <si>
    <t>Название</t>
  </si>
  <si>
    <t>Шаги</t>
  </si>
  <si>
    <t>Корректный расчет для мужчины</t>
  </si>
  <si>
    <t>Корректный расчет для женщины</t>
  </si>
  <si>
    <t>Граничные значения (очень высокий/низкий рост и вес)</t>
  </si>
  <si>
    <t>Некорректные данные (буквы вместо цифр)</t>
  </si>
  <si>
    <t>Название бага</t>
  </si>
  <si>
    <t>Шаги воспроизведения</t>
  </si>
  <si>
    <t>Фактический результат</t>
  </si>
  <si>
    <t>Не исправлено</t>
  </si>
  <si>
    <t>Никакого предупреждения</t>
  </si>
  <si>
    <t>Ошибка или допустимое значение (проверю интересно)</t>
  </si>
  <si>
    <t>Ввести кг-300, см-250, лет-50, Мужчина и нажать 'Calculate'</t>
  </si>
  <si>
    <t>Ввести кг-30, см-100, лет-18, Женщина и нажать 'Calculate'</t>
  </si>
  <si>
    <t>Корректность ввода дробных значений</t>
  </si>
  <si>
    <t>Ввести вес - 80,3, рост - 180, возраст - 30, Мужчина и нажать 'Calculate'</t>
  </si>
  <si>
    <t>м</t>
  </si>
  <si>
    <t>ж</t>
  </si>
  <si>
    <t>26.80% (Fitness)</t>
  </si>
  <si>
    <t>20.33% (Average)</t>
  </si>
  <si>
    <t>52.90% (Overweight)</t>
  </si>
  <si>
    <t>Your body fat percentage is: 34.74% ()</t>
  </si>
  <si>
    <t>Please ensure all fields are filled out to obtain a result.</t>
  </si>
  <si>
    <t>Your body fat percentage is: 26.31% (Average)</t>
  </si>
  <si>
    <t>Возможно требует изменений в коде</t>
  </si>
  <si>
    <t>Комментарий</t>
  </si>
  <si>
    <t>В формуле нет предельных высоких значений, поэтму ограничения сверху не ставим</t>
  </si>
  <si>
    <t>Исправить так как есть нижний предел возраста для обоих полов</t>
  </si>
  <si>
    <t>исправить возможность введения дробей для возраста и роста</t>
  </si>
  <si>
    <t>Готово введен нижний предел - 20 лет (соответствует формуле). При введении 19 и ниже появляется Alert под input для age</t>
  </si>
  <si>
    <t>готово. Ни в одном из полей нельзя ввести точку или зпт для отделения целых чисел от десятых</t>
  </si>
  <si>
    <t>Body fat percentage calculation (male, 30 years old)</t>
  </si>
  <si>
    <t>Body fat percentage calculation (female, 25 years old)</t>
  </si>
  <si>
    <t>Boundary values (weight 300 kg, height 250 cm)</t>
  </si>
  <si>
    <t>Boundary values (weight 30 kg, height 100 cm)</t>
  </si>
  <si>
    <t>Missing input (empty fields)</t>
  </si>
  <si>
    <t>Undefined gender selection</t>
  </si>
  <si>
    <t>Correct category display</t>
  </si>
  <si>
    <t>Correct weight input validation</t>
  </si>
  <si>
    <t>Correct height input validation</t>
  </si>
  <si>
    <t>Correct input of zero values</t>
  </si>
  <si>
    <t>Correct input of fractional values</t>
  </si>
  <si>
    <t>Enter weight - 80, height - 180, age - 30, Male and click 'Calculate'</t>
  </si>
  <si>
    <t>Enter weight - 60, height - 165, age - 25, Female and click 'Calculate'</t>
  </si>
  <si>
    <t>Enter weight - 300, height - 250, age - 50, Male and click 'Calculate'</t>
  </si>
  <si>
    <t>Enter weight - 30, height - 100, age - 18, Female and click 'Calculate'</t>
  </si>
  <si>
    <t>Leave all fields empty and click 'Calculate'</t>
  </si>
  <si>
    <t>Do not select gender, enter other data and click 'Calculate'</t>
  </si>
  <si>
    <t>Enter weight - 85, height - 175, age - 40, Male and check the category</t>
  </si>
  <si>
    <t>Enter a number and kg</t>
  </si>
  <si>
    <t>Enter a negative number</t>
  </si>
  <si>
    <t>Enter a number and cm</t>
  </si>
  <si>
    <t>Enter weight - 0, height - 165, age - 25, Female, click 'Calculate'</t>
  </si>
  <si>
    <t>Enter weight - 60, height - 0, age - 25, Female, click 'Calculate'</t>
  </si>
  <si>
    <t>Enter weight - 80.3, height - 180, age - 30, Male and click 'Calculate'</t>
  </si>
  <si>
    <t>Status</t>
  </si>
  <si>
    <t>Test Steps</t>
  </si>
  <si>
    <t>Expected Results</t>
  </si>
  <si>
    <t>Test Cases</t>
  </si>
  <si>
    <t>Testing Method</t>
  </si>
  <si>
    <t>Actual Result</t>
  </si>
  <si>
    <t>Correct body fat percentage and category (20.33 - Average)</t>
  </si>
  <si>
    <t>Correct body fat percentage and category (26.8 - Fitness)</t>
  </si>
  <si>
    <t>Warning about missing data</t>
  </si>
  <si>
    <t>Error or warning</t>
  </si>
  <si>
    <t>Category matches the norms (26.31 - Average)</t>
  </si>
  <si>
    <t>Input error</t>
  </si>
  <si>
    <t>Excel formula + data entry into the calculator</t>
  </si>
  <si>
    <t>Data entry into the calculator + code verification</t>
  </si>
  <si>
    <t>Data entry into the calculator</t>
  </si>
  <si>
    <t>Letters are not accepted in the numeric field</t>
  </si>
  <si>
    <t>1. When a fractional number is entered in any field, the result is calculated according to the formula and the provided data. 2. The age field should accept only whole numbers, as the formula uses age in an integer format. 3. Height is entered in centimeters, so using fractional values is not practical. 4. The decimal separator is a dot.</t>
  </si>
  <si>
    <t>Completed</t>
  </si>
  <si>
    <t>Actual result: No error was displayed. The upper limit constraints are not implemented in the code, allowing values beyond the expected range</t>
  </si>
  <si>
    <t>The calculator should display an error when entering an age below 20, as per the formula constraints.</t>
  </si>
  <si>
    <t>Error or acceptable value</t>
  </si>
  <si>
    <t>Your body fat percentage is: 34.74% (). No error was displayed when entering an age of 18. The lower limit for age is not implemented in the calculator.</t>
  </si>
  <si>
    <t>The absence of lower limit validation allows users to enter an age below the expected threshold, leading to incorrect calculations. This issue should be fixed by enforcing the minimum age restriction in the implementation.</t>
  </si>
  <si>
    <t>Section</t>
  </si>
  <si>
    <t>Description</t>
  </si>
  <si>
    <t>Testing Objective</t>
  </si>
  <si>
    <t>Verification of the correct functioning of the body fat calculator on the FitAlchemy.me website.</t>
  </si>
  <si>
    <t>Test Object</t>
  </si>
  <si>
    <t>Body fat calculator on the web page (data input, calculation, result output).</t>
  </si>
  <si>
    <t>Approach</t>
  </si>
  <si>
    <t>Manual testing of basic operations, boundary values, and negative scenarios.</t>
  </si>
  <si>
    <t>Pass Criteria</t>
  </si>
  <si>
    <t>All test cases are successfully passed, and defects are fixed.</t>
  </si>
  <si>
    <t>Expected Result</t>
  </si>
  <si>
    <t>The calculator correctly calculates body fat percentage, and categories correspond to the standards.</t>
  </si>
  <si>
    <t>Accuracy Verification Using an Independent Formula</t>
  </si>
  <si>
    <r>
      <rPr>
        <b/>
        <sz val="11"/>
        <color theme="1"/>
        <rFont val="Calibri"/>
        <family val="2"/>
        <charset val="204"/>
        <scheme val="minor"/>
      </rPr>
      <t>Description:</t>
    </r>
    <r>
      <rPr>
        <sz val="11"/>
        <color theme="1"/>
        <rFont val="Calibri"/>
        <family val="2"/>
        <scheme val="minor"/>
      </rPr>
      <t xml:space="preserve"> Formulas for men and women (Deurenberg &amp; Womersley) are entered into cells B10 and B11. To obtain results, values need to be entered into cells B6 (weight), B7 (height), and B8 (age).</t>
    </r>
  </si>
  <si>
    <r>
      <rPr>
        <b/>
        <sz val="11"/>
        <color theme="1"/>
        <rFont val="Calibri"/>
        <family val="2"/>
        <charset val="204"/>
        <scheme val="minor"/>
      </rPr>
      <t>Objective:</t>
    </r>
    <r>
      <rPr>
        <sz val="11"/>
        <color theme="1"/>
        <rFont val="Calibri"/>
        <family val="2"/>
        <scheme val="minor"/>
      </rPr>
      <t xml:space="preserve"> The objective of this test is to compare the results obtained from the tested calculator with those computed using the Excel formulas. If the results match, this confirms that the calculator is working correctly.</t>
    </r>
  </si>
  <si>
    <t>Наименование входных данных</t>
  </si>
  <si>
    <t>Входные данные</t>
  </si>
  <si>
    <t>вес, кг</t>
  </si>
  <si>
    <t>рост, см</t>
  </si>
  <si>
    <t>возраст, лет</t>
  </si>
  <si>
    <t>Пол</t>
  </si>
  <si>
    <t>Формулы/ результаты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</si>
</sst>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Calibri"/>
      <family val="2"/>
      <charset val="204"/>
      <scheme val="minor"/>
    </font>
    <font>
      <b/>
      <sz val="11"/>
      <name val="Calibri"/>
    </font>
    <font>
      <sz val="11"/>
      <name val="Calibri"/>
      <family val="2"/>
      <charset val="204"/>
      <scheme val="minor"/>
    </font>
    <font>
      <sz val="11"/>
      <color rgb="FF000000"/>
      <name val="Calibri"/>
      <family val="2"/>
      <charset val="204"/>
      <scheme val="minor"/>
    </font>
    <font>
      <b/>
      <sz val="11"/>
      <name val="Calibri"/>
      <family val="2"/>
      <charset val="204"/>
    </font>
    <font>
      <b/>
      <sz val="11"/>
      <color rgb="FFFF0000"/>
      <name val="Arial"/>
      <family val="2"/>
      <charset val="204"/>
    </font>
    <font>
      <b/>
      <sz val="11"/>
      <color theme="1"/>
      <name val="Calibri"/>
      <family val="2"/>
      <charset val="204"/>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3">
    <xf numFmtId="0" fontId="0" fillId="0" borderId="0" xfId="0"/>
    <xf numFmtId="0" fontId="2" fillId="0" borderId="1" xfId="0" applyFont="1" applyBorder="1" applyAlignment="1">
      <alignment horizontal="center" vertical="top"/>
    </xf>
    <xf numFmtId="0" fontId="5" fillId="0" borderId="1" xfId="0" applyFont="1" applyFill="1" applyBorder="1" applyAlignment="1">
      <alignment horizontal="center" vertical="top"/>
    </xf>
    <xf numFmtId="0" fontId="0" fillId="0" borderId="1" xfId="0"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0" fillId="0" borderId="1" xfId="0" applyBorder="1"/>
    <xf numFmtId="0" fontId="2" fillId="3" borderId="1" xfId="0" applyFont="1" applyFill="1" applyBorder="1" applyAlignment="1">
      <alignment horizontal="center" vertical="top"/>
    </xf>
    <xf numFmtId="0" fontId="5" fillId="3" borderId="1" xfId="0" applyFont="1" applyFill="1" applyBorder="1" applyAlignment="1">
      <alignment horizontal="center" vertical="top" wrapText="1"/>
    </xf>
    <xf numFmtId="0" fontId="0" fillId="0" borderId="1" xfId="0" applyBorder="1" applyAlignment="1">
      <alignment vertical="top" wrapText="1"/>
    </xf>
    <xf numFmtId="0" fontId="3" fillId="0" borderId="1" xfId="0" applyFont="1" applyBorder="1" applyAlignment="1">
      <alignment vertical="top" wrapText="1"/>
    </xf>
    <xf numFmtId="0" fontId="0" fillId="2" borderId="1" xfId="0" applyFill="1"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7" fillId="0" borderId="0" xfId="0" applyFont="1"/>
    <xf numFmtId="0" fontId="1" fillId="0" borderId="0" xfId="0" applyFont="1" applyAlignment="1">
      <alignment horizontal="left" vertical="top" wrapText="1"/>
    </xf>
    <xf numFmtId="0" fontId="0" fillId="3" borderId="2" xfId="0" applyFill="1" applyBorder="1" applyAlignment="1">
      <alignment wrapText="1"/>
    </xf>
    <xf numFmtId="0" fontId="0" fillId="3" borderId="3" xfId="0" applyFill="1" applyBorder="1" applyAlignment="1">
      <alignment wrapText="1"/>
    </xf>
    <xf numFmtId="0" fontId="0" fillId="0" borderId="4" xfId="0" applyBorder="1"/>
    <xf numFmtId="0" fontId="0" fillId="0" borderId="5" xfId="0" applyBorder="1"/>
    <xf numFmtId="0" fontId="0" fillId="0" borderId="6" xfId="0" applyBorder="1"/>
    <xf numFmtId="0" fontId="0" fillId="0" borderId="7" xfId="0" applyBorder="1"/>
    <xf numFmtId="0" fontId="0" fillId="3" borderId="2" xfId="0" applyFill="1" applyBorder="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11" sqref="B11"/>
    </sheetView>
  </sheetViews>
  <sheetFormatPr defaultRowHeight="14.5" x14ac:dyDescent="0.35"/>
  <cols>
    <col min="1" max="1" width="23" customWidth="1"/>
    <col min="2" max="2" width="80.7265625" customWidth="1"/>
  </cols>
  <sheetData>
    <row r="1" spans="1:2" x14ac:dyDescent="0.35">
      <c r="A1" s="7" t="s">
        <v>91</v>
      </c>
      <c r="B1" s="7" t="s">
        <v>92</v>
      </c>
    </row>
    <row r="2" spans="1:2" x14ac:dyDescent="0.35">
      <c r="A2" s="6" t="s">
        <v>93</v>
      </c>
      <c r="B2" s="6" t="s">
        <v>94</v>
      </c>
    </row>
    <row r="3" spans="1:2" x14ac:dyDescent="0.35">
      <c r="A3" s="6" t="s">
        <v>95</v>
      </c>
      <c r="B3" s="6" t="s">
        <v>96</v>
      </c>
    </row>
    <row r="4" spans="1:2" x14ac:dyDescent="0.35">
      <c r="A4" s="6" t="s">
        <v>97</v>
      </c>
      <c r="B4" s="6" t="s">
        <v>98</v>
      </c>
    </row>
    <row r="5" spans="1:2" x14ac:dyDescent="0.35">
      <c r="A5" s="6" t="s">
        <v>99</v>
      </c>
      <c r="B5" s="6" t="s">
        <v>100</v>
      </c>
    </row>
    <row r="6" spans="1:2" x14ac:dyDescent="0.35">
      <c r="A6" s="6" t="s">
        <v>101</v>
      </c>
      <c r="B6" s="6" t="s">
        <v>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G15" sqref="G15"/>
    </sheetView>
  </sheetViews>
  <sheetFormatPr defaultRowHeight="14.5" x14ac:dyDescent="0.35"/>
  <cols>
    <col min="1" max="1" width="3.81640625" customWidth="1"/>
    <col min="2" max="2" width="24.1796875" customWidth="1"/>
    <col min="3" max="3" width="23.7265625" customWidth="1"/>
    <col min="4" max="4" width="28.1796875" customWidth="1"/>
    <col min="5" max="5" width="18.1796875" customWidth="1"/>
    <col min="6" max="6" width="45.54296875" customWidth="1"/>
    <col min="7" max="7" width="24.08984375" customWidth="1"/>
  </cols>
  <sheetData>
    <row r="1" spans="1:7" x14ac:dyDescent="0.35">
      <c r="A1" s="7" t="s">
        <v>1</v>
      </c>
      <c r="B1" s="8" t="s">
        <v>71</v>
      </c>
      <c r="C1" s="8" t="s">
        <v>69</v>
      </c>
      <c r="D1" s="8" t="s">
        <v>70</v>
      </c>
      <c r="E1" s="8" t="s">
        <v>72</v>
      </c>
      <c r="F1" s="8" t="s">
        <v>73</v>
      </c>
      <c r="G1" s="8" t="s">
        <v>68</v>
      </c>
    </row>
    <row r="2" spans="1:7" ht="43.5" x14ac:dyDescent="0.35">
      <c r="A2" s="9">
        <v>1</v>
      </c>
      <c r="B2" s="9" t="s">
        <v>44</v>
      </c>
      <c r="C2" s="9" t="s">
        <v>55</v>
      </c>
      <c r="D2" s="9" t="s">
        <v>74</v>
      </c>
      <c r="E2" s="9" t="s">
        <v>80</v>
      </c>
      <c r="F2" s="10" t="s">
        <v>32</v>
      </c>
      <c r="G2" s="9" t="s">
        <v>85</v>
      </c>
    </row>
    <row r="3" spans="1:7" ht="43.5" x14ac:dyDescent="0.35">
      <c r="A3" s="9">
        <v>2</v>
      </c>
      <c r="B3" s="9" t="s">
        <v>45</v>
      </c>
      <c r="C3" s="9" t="s">
        <v>56</v>
      </c>
      <c r="D3" s="9" t="s">
        <v>75</v>
      </c>
      <c r="E3" s="9" t="s">
        <v>80</v>
      </c>
      <c r="F3" s="9" t="s">
        <v>31</v>
      </c>
      <c r="G3" s="9" t="s">
        <v>85</v>
      </c>
    </row>
    <row r="4" spans="1:7" ht="58" x14ac:dyDescent="0.35">
      <c r="A4" s="9">
        <v>3</v>
      </c>
      <c r="B4" s="9" t="s">
        <v>46</v>
      </c>
      <c r="C4" s="9" t="s">
        <v>57</v>
      </c>
      <c r="D4" s="9" t="s">
        <v>88</v>
      </c>
      <c r="E4" s="9" t="s">
        <v>81</v>
      </c>
      <c r="F4" s="10" t="s">
        <v>33</v>
      </c>
      <c r="G4" s="11" t="s">
        <v>86</v>
      </c>
    </row>
    <row r="5" spans="1:7" ht="101.5" x14ac:dyDescent="0.35">
      <c r="A5" s="9">
        <v>4</v>
      </c>
      <c r="B5" s="9" t="s">
        <v>47</v>
      </c>
      <c r="C5" s="9" t="s">
        <v>58</v>
      </c>
      <c r="D5" s="9" t="s">
        <v>87</v>
      </c>
      <c r="E5" s="9" t="s">
        <v>81</v>
      </c>
      <c r="F5" s="12" t="s">
        <v>89</v>
      </c>
      <c r="G5" s="11" t="s">
        <v>90</v>
      </c>
    </row>
    <row r="6" spans="1:7" ht="29" x14ac:dyDescent="0.35">
      <c r="A6" s="9">
        <v>5</v>
      </c>
      <c r="B6" s="9" t="s">
        <v>48</v>
      </c>
      <c r="C6" s="9" t="s">
        <v>59</v>
      </c>
      <c r="D6" s="9" t="s">
        <v>76</v>
      </c>
      <c r="E6" s="9" t="s">
        <v>82</v>
      </c>
      <c r="F6" s="13" t="s">
        <v>35</v>
      </c>
      <c r="G6" s="9" t="s">
        <v>85</v>
      </c>
    </row>
    <row r="7" spans="1:7" ht="43.5" x14ac:dyDescent="0.35">
      <c r="A7" s="9">
        <v>6</v>
      </c>
      <c r="B7" s="9" t="s">
        <v>49</v>
      </c>
      <c r="C7" s="9" t="s">
        <v>60</v>
      </c>
      <c r="D7" s="9" t="s">
        <v>77</v>
      </c>
      <c r="E7" s="9" t="s">
        <v>82</v>
      </c>
      <c r="F7" s="13" t="s">
        <v>35</v>
      </c>
      <c r="G7" s="9" t="s">
        <v>85</v>
      </c>
    </row>
    <row r="8" spans="1:7" ht="43.5" x14ac:dyDescent="0.35">
      <c r="A8" s="9">
        <v>7</v>
      </c>
      <c r="B8" s="9" t="s">
        <v>50</v>
      </c>
      <c r="C8" s="9" t="s">
        <v>61</v>
      </c>
      <c r="D8" s="9" t="s">
        <v>78</v>
      </c>
      <c r="E8" s="9" t="s">
        <v>82</v>
      </c>
      <c r="F8" s="10" t="s">
        <v>36</v>
      </c>
      <c r="G8" s="9" t="s">
        <v>85</v>
      </c>
    </row>
    <row r="9" spans="1:7" ht="29" x14ac:dyDescent="0.35">
      <c r="A9" s="9">
        <v>8</v>
      </c>
      <c r="B9" s="9" t="s">
        <v>51</v>
      </c>
      <c r="C9" s="9" t="s">
        <v>62</v>
      </c>
      <c r="D9" s="9" t="s">
        <v>79</v>
      </c>
      <c r="E9" s="9" t="s">
        <v>82</v>
      </c>
      <c r="F9" s="9" t="s">
        <v>83</v>
      </c>
      <c r="G9" s="9" t="s">
        <v>85</v>
      </c>
    </row>
    <row r="10" spans="1:7" ht="29" x14ac:dyDescent="0.35">
      <c r="A10" s="9">
        <v>9</v>
      </c>
      <c r="B10" s="9" t="s">
        <v>51</v>
      </c>
      <c r="C10" s="9" t="s">
        <v>63</v>
      </c>
      <c r="D10" s="9" t="s">
        <v>79</v>
      </c>
      <c r="E10" s="9" t="s">
        <v>82</v>
      </c>
      <c r="F10" s="13" t="s">
        <v>35</v>
      </c>
      <c r="G10" s="9" t="s">
        <v>85</v>
      </c>
    </row>
    <row r="11" spans="1:7" ht="29" x14ac:dyDescent="0.35">
      <c r="A11" s="9">
        <v>10</v>
      </c>
      <c r="B11" s="9" t="s">
        <v>52</v>
      </c>
      <c r="C11" s="9" t="s">
        <v>64</v>
      </c>
      <c r="D11" s="9" t="s">
        <v>79</v>
      </c>
      <c r="E11" s="9" t="s">
        <v>82</v>
      </c>
      <c r="F11" s="9" t="s">
        <v>83</v>
      </c>
      <c r="G11" s="9" t="s">
        <v>85</v>
      </c>
    </row>
    <row r="12" spans="1:7" ht="29" x14ac:dyDescent="0.35">
      <c r="A12" s="9">
        <v>11</v>
      </c>
      <c r="B12" s="9" t="s">
        <v>52</v>
      </c>
      <c r="C12" s="9" t="s">
        <v>63</v>
      </c>
      <c r="D12" s="9" t="s">
        <v>79</v>
      </c>
      <c r="E12" s="9" t="s">
        <v>82</v>
      </c>
      <c r="F12" s="13" t="s">
        <v>35</v>
      </c>
      <c r="G12" s="9" t="s">
        <v>85</v>
      </c>
    </row>
    <row r="13" spans="1:7" ht="43.5" x14ac:dyDescent="0.35">
      <c r="A13" s="9">
        <v>12</v>
      </c>
      <c r="B13" s="9" t="s">
        <v>53</v>
      </c>
      <c r="C13" s="9" t="s">
        <v>65</v>
      </c>
      <c r="D13" s="9" t="s">
        <v>79</v>
      </c>
      <c r="E13" s="9" t="s">
        <v>82</v>
      </c>
      <c r="F13" s="13" t="s">
        <v>35</v>
      </c>
      <c r="G13" s="9" t="s">
        <v>85</v>
      </c>
    </row>
    <row r="14" spans="1:7" ht="43.5" x14ac:dyDescent="0.35">
      <c r="A14" s="9">
        <v>13</v>
      </c>
      <c r="B14" s="9" t="s">
        <v>53</v>
      </c>
      <c r="C14" s="9" t="s">
        <v>66</v>
      </c>
      <c r="D14" s="9" t="s">
        <v>79</v>
      </c>
      <c r="E14" s="9" t="s">
        <v>82</v>
      </c>
      <c r="F14" s="13" t="s">
        <v>35</v>
      </c>
      <c r="G14" s="9" t="s">
        <v>85</v>
      </c>
    </row>
    <row r="15" spans="1:7" ht="101.5" x14ac:dyDescent="0.35">
      <c r="A15" s="9">
        <v>14</v>
      </c>
      <c r="B15" s="9" t="s">
        <v>54</v>
      </c>
      <c r="C15" s="9" t="s">
        <v>67</v>
      </c>
      <c r="D15" s="9" t="s">
        <v>79</v>
      </c>
      <c r="E15" s="9" t="s">
        <v>82</v>
      </c>
      <c r="F15" s="9" t="s">
        <v>84</v>
      </c>
      <c r="G15" s="11" t="s">
        <v>37</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abSelected="1" topLeftCell="A4" workbookViewId="0">
      <selection activeCell="A5" sqref="A5:B5"/>
    </sheetView>
  </sheetViews>
  <sheetFormatPr defaultRowHeight="14.5" x14ac:dyDescent="0.35"/>
  <cols>
    <col min="1" max="1" width="19.54296875" customWidth="1"/>
    <col min="2" max="2" width="16.1796875" customWidth="1"/>
  </cols>
  <sheetData>
    <row r="1" spans="1:5" x14ac:dyDescent="0.35">
      <c r="A1" s="14" t="s">
        <v>103</v>
      </c>
    </row>
    <row r="2" spans="1:5" x14ac:dyDescent="0.35">
      <c r="A2" s="14"/>
    </row>
    <row r="3" spans="1:5" ht="55" customHeight="1" x14ac:dyDescent="0.35">
      <c r="A3" s="15" t="s">
        <v>104</v>
      </c>
      <c r="B3" s="15"/>
      <c r="C3" s="15"/>
      <c r="D3" s="15"/>
      <c r="E3" s="15"/>
    </row>
    <row r="4" spans="1:5" ht="58.5" customHeight="1" thickBot="1" x14ac:dyDescent="0.4">
      <c r="A4" s="15" t="s">
        <v>105</v>
      </c>
      <c r="B4" s="15"/>
      <c r="C4" s="15"/>
      <c r="D4" s="15"/>
      <c r="E4" s="15"/>
    </row>
    <row r="5" spans="1:5" ht="58" x14ac:dyDescent="0.35">
      <c r="A5" s="16" t="s">
        <v>106</v>
      </c>
      <c r="B5" s="17" t="s">
        <v>107</v>
      </c>
    </row>
    <row r="6" spans="1:5" x14ac:dyDescent="0.35">
      <c r="A6" s="18" t="s">
        <v>108</v>
      </c>
      <c r="B6" s="19">
        <v>85</v>
      </c>
    </row>
    <row r="7" spans="1:5" x14ac:dyDescent="0.35">
      <c r="A7" s="18" t="s">
        <v>109</v>
      </c>
      <c r="B7" s="19">
        <v>175</v>
      </c>
    </row>
    <row r="8" spans="1:5" ht="15" thickBot="1" x14ac:dyDescent="0.4">
      <c r="A8" s="20" t="s">
        <v>110</v>
      </c>
      <c r="B8" s="21">
        <v>40</v>
      </c>
    </row>
    <row r="9" spans="1:5" ht="58" x14ac:dyDescent="0.35">
      <c r="A9" s="22" t="s">
        <v>111</v>
      </c>
      <c r="B9" s="17" t="s">
        <v>112</v>
      </c>
    </row>
    <row r="10" spans="1:5" x14ac:dyDescent="0.35">
      <c r="A10" s="18" t="s">
        <v>29</v>
      </c>
      <c r="B10" s="19">
        <f>1.2*B6/(B7/100)^2+0.23*B8-16.2</f>
        <v>26.306122448979597</v>
      </c>
    </row>
    <row r="11" spans="1:5" ht="15" thickBot="1" x14ac:dyDescent="0.4">
      <c r="A11" s="20" t="s">
        <v>30</v>
      </c>
      <c r="B11" s="21">
        <f>1.2*B6/(B7/100)^2+0.23*B8-5.4</f>
        <v>37.106122448979598</v>
      </c>
    </row>
  </sheetData>
  <mergeCells count="2">
    <mergeCell ref="A3:E3"/>
    <mergeCell ref="A4:E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heetViews>
  <sheetFormatPr defaultRowHeight="14.5" x14ac:dyDescent="0.35"/>
  <cols>
    <col min="2" max="2" width="50.08984375" bestFit="1" customWidth="1"/>
    <col min="3" max="3" width="52.26953125" bestFit="1" customWidth="1"/>
    <col min="4" max="4" width="35.26953125" bestFit="1" customWidth="1"/>
    <col min="5" max="5" width="13.54296875" bestFit="1" customWidth="1"/>
  </cols>
  <sheetData>
    <row r="1" spans="1:5" x14ac:dyDescent="0.35">
      <c r="A1" s="1" t="s">
        <v>1</v>
      </c>
      <c r="B1" s="1" t="s">
        <v>13</v>
      </c>
      <c r="C1" s="1" t="s">
        <v>14</v>
      </c>
      <c r="D1" s="1" t="s">
        <v>0</v>
      </c>
      <c r="E1" s="1" t="s">
        <v>2</v>
      </c>
    </row>
    <row r="2" spans="1:5" x14ac:dyDescent="0.35">
      <c r="A2">
        <v>1</v>
      </c>
      <c r="B2" t="s">
        <v>15</v>
      </c>
      <c r="C2" t="s">
        <v>3</v>
      </c>
      <c r="D2" t="s">
        <v>4</v>
      </c>
      <c r="E2" t="s">
        <v>5</v>
      </c>
    </row>
    <row r="3" spans="1:5" x14ac:dyDescent="0.35">
      <c r="A3">
        <v>2</v>
      </c>
      <c r="B3" t="s">
        <v>16</v>
      </c>
      <c r="C3" t="s">
        <v>6</v>
      </c>
      <c r="D3" t="s">
        <v>4</v>
      </c>
      <c r="E3" t="s">
        <v>5</v>
      </c>
    </row>
    <row r="4" spans="1:5" x14ac:dyDescent="0.35">
      <c r="A4">
        <v>3</v>
      </c>
      <c r="B4" t="s">
        <v>17</v>
      </c>
      <c r="C4" t="s">
        <v>8</v>
      </c>
      <c r="D4" t="s">
        <v>9</v>
      </c>
      <c r="E4" t="s">
        <v>5</v>
      </c>
    </row>
    <row r="5" spans="1:5" x14ac:dyDescent="0.35">
      <c r="A5">
        <v>4</v>
      </c>
      <c r="B5" t="s">
        <v>18</v>
      </c>
      <c r="C5" t="s">
        <v>11</v>
      </c>
      <c r="D5" t="s">
        <v>12</v>
      </c>
      <c r="E5" t="s">
        <v>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activeCell="F3" sqref="F3"/>
    </sheetView>
  </sheetViews>
  <sheetFormatPr defaultRowHeight="14.5" x14ac:dyDescent="0.35"/>
  <cols>
    <col min="2" max="2" width="40.6328125" customWidth="1"/>
    <col min="3" max="3" width="33.81640625" customWidth="1"/>
    <col min="4" max="4" width="24.36328125" customWidth="1"/>
    <col min="5" max="5" width="24.81640625" customWidth="1"/>
    <col min="6" max="6" width="13.81640625" bestFit="1" customWidth="1"/>
    <col min="7" max="7" width="13.08984375" bestFit="1" customWidth="1"/>
  </cols>
  <sheetData>
    <row r="1" spans="1:7" x14ac:dyDescent="0.35">
      <c r="A1" s="1" t="s">
        <v>1</v>
      </c>
      <c r="B1" s="1" t="s">
        <v>19</v>
      </c>
      <c r="C1" s="1" t="s">
        <v>20</v>
      </c>
      <c r="D1" s="1" t="s">
        <v>0</v>
      </c>
      <c r="E1" s="1" t="s">
        <v>21</v>
      </c>
      <c r="F1" s="1" t="s">
        <v>2</v>
      </c>
      <c r="G1" s="2" t="s">
        <v>38</v>
      </c>
    </row>
    <row r="2" spans="1:7" ht="130.5" x14ac:dyDescent="0.35">
      <c r="A2" s="3">
        <v>1</v>
      </c>
      <c r="B2" s="3" t="s">
        <v>7</v>
      </c>
      <c r="C2" s="3" t="s">
        <v>25</v>
      </c>
      <c r="D2" s="3" t="s">
        <v>24</v>
      </c>
      <c r="E2" s="4" t="s">
        <v>33</v>
      </c>
      <c r="F2" s="3" t="s">
        <v>22</v>
      </c>
      <c r="G2" s="3" t="s">
        <v>39</v>
      </c>
    </row>
    <row r="3" spans="1:7" ht="159.5" x14ac:dyDescent="0.35">
      <c r="A3" s="3">
        <v>2</v>
      </c>
      <c r="B3" s="3" t="s">
        <v>10</v>
      </c>
      <c r="C3" s="3" t="s">
        <v>26</v>
      </c>
      <c r="D3" s="3" t="s">
        <v>12</v>
      </c>
      <c r="E3" s="5" t="s">
        <v>34</v>
      </c>
      <c r="F3" s="3" t="s">
        <v>42</v>
      </c>
      <c r="G3" s="3" t="s">
        <v>40</v>
      </c>
    </row>
    <row r="4" spans="1:7" ht="116" x14ac:dyDescent="0.35">
      <c r="A4" s="3">
        <v>3</v>
      </c>
      <c r="B4" s="3" t="s">
        <v>27</v>
      </c>
      <c r="C4" s="3" t="s">
        <v>28</v>
      </c>
      <c r="D4" s="3" t="s">
        <v>12</v>
      </c>
      <c r="E4" s="3" t="s">
        <v>23</v>
      </c>
      <c r="F4" s="3" t="s">
        <v>43</v>
      </c>
      <c r="G4" s="3"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Тест-план</vt:lpstr>
      <vt:lpstr>Чек-лист</vt:lpstr>
      <vt:lpstr>Excel vs. Calculator</vt:lpstr>
      <vt:lpstr>Тест-кейсы</vt:lpstr>
      <vt:lpstr>Баг-репорт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2025-03-02T09:51:16Z</dcterms:created>
  <dcterms:modified xsi:type="dcterms:W3CDTF">2025-03-04T20:29:00Z</dcterms:modified>
</cp:coreProperties>
</file>
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.jupyter\Fat_calc\"/>
    </mc:Choice>
  </mc:AlternateContent>
  <bookViews>
    <workbookView xWindow="0" yWindow="0" windowWidth="19200" windowHeight="7050" activeTab="2"/>
  </bookViews>
  <sheets>
    <sheet name="Тест-план" sheetId="1" r:id="rId1"/>
    <sheet name="Чек-лист" sheetId="2" r:id="rId2"/>
    <sheet name="формулы" sheetId="5" r:id="rId3"/>
    <sheet name="Тест-кейсы" sheetId="3" r:id="rId4"/>
    <sheet name="Баг-репорт" sheetId="4" r:id="rId5"/>
  </sheets>
  <calcPr calcId="162913"/>
</workbook>
</file>

<file path=xl/calcChain.xml><?xml version="1.0" encoding="utf-8"?>
<calcChain xmlns="http://schemas.openxmlformats.org/spreadsheetml/2006/main">
  <c r="B11" i="5" l="1"/>
  <c r="B10" i="5"/>
</calcChain>
</file>

<file path=xl/sharedStrings.xml><?xml version="1.0" encoding="utf-8"?>
<sst xmlns="http://schemas.openxmlformats.org/spreadsheetml/2006/main" count="161" uniqueCount="102">
  <si>
    <t>Раздел</t>
  </si>
  <si>
    <t>Описание</t>
  </si>
  <si>
    <t>Цель тестирования</t>
  </si>
  <si>
    <t>Объект тестирования</t>
  </si>
  <si>
    <t>Калькулятор жира на web-странице (ввод данных, расчет, вывод результата)</t>
  </si>
  <si>
    <t>Подход</t>
  </si>
  <si>
    <t>Ручное тестирование базовых операций, граничных значений и негативных сценариев</t>
  </si>
  <si>
    <t>Критерии прохождения</t>
  </si>
  <si>
    <t>Все тест-кейсы успешно пройдены, ошибки исправлены</t>
  </si>
  <si>
    <t>Ожидаемый результат</t>
  </si>
  <si>
    <t>Калькулятор корректно вычисляет процент жира, категории соответствуют нормам</t>
  </si>
  <si>
    <t>ID</t>
  </si>
  <si>
    <t>Функция</t>
  </si>
  <si>
    <t>Действие</t>
  </si>
  <si>
    <t>Статус</t>
  </si>
  <si>
    <t>Расчет процента жира (мужчина, 30 лет)</t>
  </si>
  <si>
    <t>Ввести 80 кг, 180 см, 30 лет, Мужчина и нажать 'Calculate'</t>
  </si>
  <si>
    <t>Корректный процент жира и категория</t>
  </si>
  <si>
    <t>Ожидает теста</t>
  </si>
  <si>
    <t>Расчет процента жира (женщина, 25 лет)</t>
  </si>
  <si>
    <t>Ввести 60 кг, 165 см, 25 лет, Женщина и нажать 'Calculate'</t>
  </si>
  <si>
    <t>Граничные значения (вес 300 кг, рост 250 см)</t>
  </si>
  <si>
    <t>Ввести 300 кг, 250 см, 50 лет, Мужчина и нажать 'Calculate'</t>
  </si>
  <si>
    <t>Ошибка или допустимое значение</t>
  </si>
  <si>
    <t>Граничные значения (вес 30 кг, рост 100 см)</t>
  </si>
  <si>
    <t>Ввести 'abc' в поле 'вес', остальные оставить корректными</t>
  </si>
  <si>
    <t>Ошибка ввода</t>
  </si>
  <si>
    <t>Отсутствие ввода (пустые поля)</t>
  </si>
  <si>
    <t>Оставить все поля пустыми и нажать 'Calculate'</t>
  </si>
  <si>
    <t>Предупреждение об отсутствии данных</t>
  </si>
  <si>
    <t>Выбор неопределенного пола</t>
  </si>
  <si>
    <t>Не выбирать пол, ввести остальные данные и нажать 'Calculate'</t>
  </si>
  <si>
    <t>Ошибка или предупреждение</t>
  </si>
  <si>
    <t>Корректность отображения категорий</t>
  </si>
  <si>
    <t>Название</t>
  </si>
  <si>
    <t>Шаги</t>
  </si>
  <si>
    <t>Корректный расчет для мужчины</t>
  </si>
  <si>
    <t>Корректный расчет для женщины</t>
  </si>
  <si>
    <t>Граничные значения (очень высокий/низкий рост и вес)</t>
  </si>
  <si>
    <t>Некорректные данные (буквы вместо цифр)</t>
  </si>
  <si>
    <t>Название бага</t>
  </si>
  <si>
    <t>Шаги воспроизведения</t>
  </si>
  <si>
    <t>Фактический результат</t>
  </si>
  <si>
    <t>Не исправлено</t>
  </si>
  <si>
    <t>Никакого предупреждения</t>
  </si>
  <si>
    <t>Ошибка или допустимое значение (проверю интересно)</t>
  </si>
  <si>
    <t xml:space="preserve">Ввести отрицательное число </t>
  </si>
  <si>
    <t>Ввести число и kg</t>
  </si>
  <si>
    <t>Корректность ввода значений Вес</t>
  </si>
  <si>
    <t>Корректность ввода значений Рост</t>
  </si>
  <si>
    <t>Ввести число и cm</t>
  </si>
  <si>
    <t>Ввести вес - 80, рост - 180, возраст - 30, Мужчина и нажать 'Calculate'</t>
  </si>
  <si>
    <t>Ввести кг-60, см-165, лет-25, Женщина и нажать 'Calculate'</t>
  </si>
  <si>
    <t>Ввести кг-300, см-250, лет-50, Мужчина и нажать 'Calculate'</t>
  </si>
  <si>
    <t>Ввести кг-30, см-100, лет-18, Женщина и нажать 'Calculate'</t>
  </si>
  <si>
    <t>Ввести кг-85, см-175, лет-40, Мужчина и проверить категорию</t>
  </si>
  <si>
    <t>Ввести кг- 0, см-165, лет-25, Женщина, нажать "Calculate"</t>
  </si>
  <si>
    <t>Корректность ввода значений: нулевые значения</t>
  </si>
  <si>
    <t>Ввести кг- 60, см-0, лет-25, Женщина, нажать "Calculate"</t>
  </si>
  <si>
    <t>Корректность ввода дробных значений</t>
  </si>
  <si>
    <t>Ввести вес - 80,3, рост - 180, возраст - 30, Мужчина и нажать 'Calculate'</t>
  </si>
  <si>
    <t>Проверка корректности работы калькулятора жира на сайте FitAlchemy.me</t>
  </si>
  <si>
    <t>м</t>
  </si>
  <si>
    <t>ж</t>
  </si>
  <si>
    <t>Метод тестирования</t>
  </si>
  <si>
    <t>формула excel</t>
  </si>
  <si>
    <t>Корректный процент жира и категория (20,33 - Average)</t>
  </si>
  <si>
    <t>Готов</t>
  </si>
  <si>
    <t>Корректный процент жира и категория (26,8 - Fitness)</t>
  </si>
  <si>
    <t>26.80% (Fitness)</t>
  </si>
  <si>
    <t>20.33% (Average)</t>
  </si>
  <si>
    <t>52.90% (Overweight)</t>
  </si>
  <si>
    <t>Your body fat percentage is: 34.74% ()</t>
  </si>
  <si>
    <t>введение данных в калькулятор + проверка кода</t>
  </si>
  <si>
    <t>Фактический результат (калькулатора)</t>
  </si>
  <si>
    <t>Please ensure all fields are filled out to obtain a result.</t>
  </si>
  <si>
    <t>Your body fat percentage is: 26.31% (Average)</t>
  </si>
  <si>
    <t>Категория соответствует нормам (26,31 Average)</t>
  </si>
  <si>
    <t>буквы не вводятся</t>
  </si>
  <si>
    <t>Возможно требует изменений в коде</t>
  </si>
  <si>
    <t>Комментарий</t>
  </si>
  <si>
    <t>В формуле нет предельных высоких значений, поэтму ограничения сверху не ставим</t>
  </si>
  <si>
    <t>Исправить так как есть нижний предел возраста для обоих полов</t>
  </si>
  <si>
    <t>исправить возможность введения дробей для возраста и роста</t>
  </si>
  <si>
    <t>Готово введен нижний предел - 20 лет (соответствует формуле). При введении 19 и ниже появляется Alert под input для age</t>
  </si>
  <si>
    <t>готово. Ни в одном из полей нельзя ввести точку или зпт для отделения целых чисел от десятых</t>
  </si>
  <si>
    <t>введение данных в калькулятор</t>
  </si>
  <si>
    <t xml:space="preserve">1. При вводе дробного числа в любое поле результат рассчитывается в соответствии с формулой и введёнными данными. 2. Поле возраста можно оставить только для целых чисел, так как формула использует возраст в целочисленном формате. 3. Рост указывается в см, вводить его с дробными значениями не имеет смысла. 4. Дробная часть от числа отделяется точкой
</t>
  </si>
  <si>
    <t>Ошибка не отображается. В коде не реализованы ограничения верхнего предела, что позволяет вводить значения вне ожидаемого диапазона.</t>
  </si>
  <si>
    <t>Калькулятор должен вывести ошибку при вводе возраста меньше 20 лет, согласно ограничениям в формуле.</t>
  </si>
  <si>
    <t>Отсутствие валидации минимального возраста позволяет вводить некорректные значения, что может привести к ошибочным расчетам. Необходимо добавить проверку минимального возраста в коде.</t>
  </si>
  <si>
    <t>Your body fat percentage is: 34.74% (). Ошибка не отображается при вводе возраста 18 лет. В калькуляторе не реализована проверка нижнего предела возраста.</t>
  </si>
  <si>
    <t>Проверка точности расчетов с использованием независимой формулы</t>
  </si>
  <si>
    <t>Входные данные</t>
  </si>
  <si>
    <t>Наименование входных данных</t>
  </si>
  <si>
    <t>вес, кг</t>
  </si>
  <si>
    <t>рост, см</t>
  </si>
  <si>
    <t>возраст, лет</t>
  </si>
  <si>
    <t>Формулы/ результаты</t>
  </si>
  <si>
    <t>Пол</t>
  </si>
  <si>
    <r>
      <rPr>
        <b/>
        <sz val="11"/>
        <color theme="1"/>
        <rFont val="Calibri"/>
        <family val="2"/>
        <charset val="204"/>
        <scheme val="minor"/>
      </rPr>
      <t>Цель:</t>
    </r>
    <r>
      <rPr>
        <sz val="11"/>
        <color theme="1"/>
        <rFont val="Calibri"/>
        <family val="2"/>
        <scheme val="minor"/>
      </rPr>
      <t xml:space="preserve"> Целью тестирования является сравнение результатов, полученных с помощью тестируемого калькулятора, с результатами, вычисленными с помощью формул Excel. Если результаты совпадают, это подтверждает, что калькулятор работает корректно.</t>
    </r>
  </si>
  <si>
    <r>
      <rPr>
        <b/>
        <sz val="11"/>
        <color theme="1"/>
        <rFont val="Calibri"/>
        <family val="2"/>
        <charset val="204"/>
        <scheme val="minor"/>
      </rPr>
      <t>Описание:</t>
    </r>
    <r>
      <rPr>
        <sz val="11"/>
        <color theme="1"/>
        <rFont val="Calibri"/>
        <family val="2"/>
        <scheme val="minor"/>
      </rPr>
      <t xml:space="preserve"> В ячейки B10, B11 введены формулы для мужчин и женщин (Deurenberg &amp; Womersley). Для получения результатов необходимо ввести значения в B6-B8.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</si>
</sst>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0" fillId="3" borderId="2" xfId="0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3" borderId="5" xfId="0" applyFill="1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3" borderId="5" xfId="0" applyFill="1" applyBorder="1"/>
    <xf numFmtId="0" fontId="1" fillId="0" borderId="0" xfId="0" applyFon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4" sqref="B14"/>
    </sheetView>
  </sheetViews>
  <sheetFormatPr defaultRowHeight="14.5" x14ac:dyDescent="0.35"/>
  <cols>
    <col min="1" max="1" width="23" customWidth="1"/>
    <col min="2" max="2" width="80.7265625" customWidth="1"/>
  </cols>
  <sheetData>
    <row r="1" spans="1:2" x14ac:dyDescent="0.35">
      <c r="A1" s="7" t="s">
        <v>0</v>
      </c>
      <c r="B1" s="7" t="s">
        <v>1</v>
      </c>
    </row>
    <row r="2" spans="1:2" x14ac:dyDescent="0.35">
      <c r="A2" s="6" t="s">
        <v>2</v>
      </c>
      <c r="B2" s="6" t="s">
        <v>61</v>
      </c>
    </row>
    <row r="3" spans="1:2" x14ac:dyDescent="0.35">
      <c r="A3" s="6" t="s">
        <v>3</v>
      </c>
      <c r="B3" s="6" t="s">
        <v>4</v>
      </c>
    </row>
    <row r="4" spans="1:2" x14ac:dyDescent="0.35">
      <c r="A4" s="6" t="s">
        <v>5</v>
      </c>
      <c r="B4" s="6" t="s">
        <v>6</v>
      </c>
    </row>
    <row r="5" spans="1:2" x14ac:dyDescent="0.35">
      <c r="A5" s="6" t="s">
        <v>7</v>
      </c>
      <c r="B5" s="6" t="s">
        <v>8</v>
      </c>
    </row>
    <row r="6" spans="1:2" x14ac:dyDescent="0.35">
      <c r="A6" s="6" t="s">
        <v>9</v>
      </c>
      <c r="B6" s="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D4" sqref="D4"/>
    </sheetView>
  </sheetViews>
  <sheetFormatPr defaultRowHeight="14.5" x14ac:dyDescent="0.35"/>
  <cols>
    <col min="1" max="1" width="5.1796875" customWidth="1"/>
    <col min="2" max="2" width="18" customWidth="1"/>
    <col min="3" max="3" width="22.26953125" customWidth="1"/>
    <col min="4" max="4" width="22.1796875" customWidth="1"/>
    <col min="5" max="5" width="15" customWidth="1"/>
    <col min="6" max="6" width="42.81640625" customWidth="1"/>
    <col min="7" max="7" width="36.54296875" customWidth="1"/>
  </cols>
  <sheetData>
    <row r="1" spans="1:7" ht="29" x14ac:dyDescent="0.35">
      <c r="A1" s="7" t="s">
        <v>11</v>
      </c>
      <c r="B1" s="8" t="s">
        <v>12</v>
      </c>
      <c r="C1" s="8" t="s">
        <v>13</v>
      </c>
      <c r="D1" s="8" t="s">
        <v>9</v>
      </c>
      <c r="E1" s="8" t="s">
        <v>64</v>
      </c>
      <c r="F1" s="9" t="s">
        <v>74</v>
      </c>
      <c r="G1" s="8" t="s">
        <v>14</v>
      </c>
    </row>
    <row r="2" spans="1:7" ht="43.5" x14ac:dyDescent="0.35">
      <c r="A2" s="10">
        <v>1</v>
      </c>
      <c r="B2" s="10" t="s">
        <v>15</v>
      </c>
      <c r="C2" s="10" t="s">
        <v>51</v>
      </c>
      <c r="D2" s="10" t="s">
        <v>66</v>
      </c>
      <c r="E2" s="10" t="s">
        <v>65</v>
      </c>
      <c r="F2" s="12" t="s">
        <v>70</v>
      </c>
      <c r="G2" s="10" t="s">
        <v>67</v>
      </c>
    </row>
    <row r="3" spans="1:7" ht="29" x14ac:dyDescent="0.35">
      <c r="A3" s="10">
        <v>2</v>
      </c>
      <c r="B3" s="10" t="s">
        <v>19</v>
      </c>
      <c r="C3" s="10" t="s">
        <v>52</v>
      </c>
      <c r="D3" s="10" t="s">
        <v>68</v>
      </c>
      <c r="E3" s="10" t="s">
        <v>65</v>
      </c>
      <c r="F3" s="10" t="s">
        <v>69</v>
      </c>
      <c r="G3" s="10" t="s">
        <v>67</v>
      </c>
    </row>
    <row r="4" spans="1:7" ht="58" x14ac:dyDescent="0.35">
      <c r="A4" s="10">
        <v>3</v>
      </c>
      <c r="B4" s="10" t="s">
        <v>21</v>
      </c>
      <c r="C4" s="10" t="s">
        <v>53</v>
      </c>
      <c r="D4" s="10" t="s">
        <v>45</v>
      </c>
      <c r="E4" s="10" t="s">
        <v>73</v>
      </c>
      <c r="F4" s="12" t="s">
        <v>71</v>
      </c>
      <c r="G4" s="11" t="s">
        <v>88</v>
      </c>
    </row>
    <row r="5" spans="1:7" ht="87" x14ac:dyDescent="0.35">
      <c r="A5" s="10">
        <v>4</v>
      </c>
      <c r="B5" s="10" t="s">
        <v>24</v>
      </c>
      <c r="C5" s="10" t="s">
        <v>54</v>
      </c>
      <c r="D5" s="10" t="s">
        <v>89</v>
      </c>
      <c r="E5" s="10" t="s">
        <v>73</v>
      </c>
      <c r="F5" s="13" t="s">
        <v>91</v>
      </c>
      <c r="G5" s="11" t="s">
        <v>90</v>
      </c>
    </row>
    <row r="6" spans="1:7" ht="29" x14ac:dyDescent="0.35">
      <c r="A6" s="10">
        <v>5</v>
      </c>
      <c r="B6" s="10" t="s">
        <v>27</v>
      </c>
      <c r="C6" s="10" t="s">
        <v>28</v>
      </c>
      <c r="D6" s="10" t="s">
        <v>29</v>
      </c>
      <c r="E6" s="10" t="s">
        <v>86</v>
      </c>
      <c r="F6" s="14" t="s">
        <v>75</v>
      </c>
      <c r="G6" s="10" t="s">
        <v>67</v>
      </c>
    </row>
    <row r="7" spans="1:7" ht="43.5" x14ac:dyDescent="0.35">
      <c r="A7" s="10">
        <v>6</v>
      </c>
      <c r="B7" s="10" t="s">
        <v>30</v>
      </c>
      <c r="C7" s="10" t="s">
        <v>31</v>
      </c>
      <c r="D7" s="10" t="s">
        <v>32</v>
      </c>
      <c r="E7" s="10" t="s">
        <v>86</v>
      </c>
      <c r="F7" s="14" t="s">
        <v>75</v>
      </c>
      <c r="G7" s="10" t="s">
        <v>67</v>
      </c>
    </row>
    <row r="8" spans="1:7" ht="43.5" x14ac:dyDescent="0.35">
      <c r="A8" s="10">
        <v>7</v>
      </c>
      <c r="B8" s="10" t="s">
        <v>33</v>
      </c>
      <c r="C8" s="10" t="s">
        <v>55</v>
      </c>
      <c r="D8" s="10" t="s">
        <v>77</v>
      </c>
      <c r="E8" s="10" t="s">
        <v>86</v>
      </c>
      <c r="F8" s="12" t="s">
        <v>76</v>
      </c>
      <c r="G8" s="10" t="s">
        <v>67</v>
      </c>
    </row>
    <row r="9" spans="1:7" ht="29" x14ac:dyDescent="0.35">
      <c r="A9" s="10">
        <v>8</v>
      </c>
      <c r="B9" s="10" t="s">
        <v>48</v>
      </c>
      <c r="C9" s="10" t="s">
        <v>47</v>
      </c>
      <c r="D9" s="10" t="s">
        <v>26</v>
      </c>
      <c r="E9" s="10" t="s">
        <v>86</v>
      </c>
      <c r="F9" s="10" t="s">
        <v>78</v>
      </c>
      <c r="G9" s="10" t="s">
        <v>67</v>
      </c>
    </row>
    <row r="10" spans="1:7" ht="29" x14ac:dyDescent="0.35">
      <c r="A10" s="10">
        <v>9</v>
      </c>
      <c r="B10" s="10" t="s">
        <v>48</v>
      </c>
      <c r="C10" s="10" t="s">
        <v>46</v>
      </c>
      <c r="D10" s="10" t="s">
        <v>26</v>
      </c>
      <c r="E10" s="10" t="s">
        <v>86</v>
      </c>
      <c r="F10" s="14" t="s">
        <v>75</v>
      </c>
      <c r="G10" s="10" t="s">
        <v>67</v>
      </c>
    </row>
    <row r="11" spans="1:7" ht="29" x14ac:dyDescent="0.35">
      <c r="A11" s="10">
        <v>10</v>
      </c>
      <c r="B11" s="10" t="s">
        <v>49</v>
      </c>
      <c r="C11" s="10" t="s">
        <v>50</v>
      </c>
      <c r="D11" s="10" t="s">
        <v>26</v>
      </c>
      <c r="E11" s="10" t="s">
        <v>86</v>
      </c>
      <c r="F11" s="10" t="s">
        <v>78</v>
      </c>
      <c r="G11" s="10" t="s">
        <v>67</v>
      </c>
    </row>
    <row r="12" spans="1:7" ht="29" x14ac:dyDescent="0.35">
      <c r="A12" s="10">
        <v>11</v>
      </c>
      <c r="B12" s="10" t="s">
        <v>49</v>
      </c>
      <c r="C12" s="10" t="s">
        <v>46</v>
      </c>
      <c r="D12" s="10" t="s">
        <v>26</v>
      </c>
      <c r="E12" s="10" t="s">
        <v>86</v>
      </c>
      <c r="F12" s="14" t="s">
        <v>75</v>
      </c>
      <c r="G12" s="10" t="s">
        <v>67</v>
      </c>
    </row>
    <row r="13" spans="1:7" ht="43.5" x14ac:dyDescent="0.35">
      <c r="A13" s="10">
        <v>12</v>
      </c>
      <c r="B13" s="10" t="s">
        <v>57</v>
      </c>
      <c r="C13" s="10" t="s">
        <v>56</v>
      </c>
      <c r="D13" s="10" t="s">
        <v>26</v>
      </c>
      <c r="E13" s="10" t="s">
        <v>86</v>
      </c>
      <c r="F13" s="14" t="s">
        <v>75</v>
      </c>
      <c r="G13" s="10" t="s">
        <v>67</v>
      </c>
    </row>
    <row r="14" spans="1:7" ht="43.5" x14ac:dyDescent="0.35">
      <c r="A14" s="10">
        <v>13</v>
      </c>
      <c r="B14" s="10" t="s">
        <v>57</v>
      </c>
      <c r="C14" s="10" t="s">
        <v>58</v>
      </c>
      <c r="D14" s="10" t="s">
        <v>26</v>
      </c>
      <c r="E14" s="10" t="s">
        <v>86</v>
      </c>
      <c r="F14" s="14" t="s">
        <v>75</v>
      </c>
      <c r="G14" s="10" t="s">
        <v>67</v>
      </c>
    </row>
    <row r="15" spans="1:7" ht="116" x14ac:dyDescent="0.35">
      <c r="A15" s="10">
        <v>14</v>
      </c>
      <c r="B15" s="10" t="s">
        <v>59</v>
      </c>
      <c r="C15" s="10" t="s">
        <v>60</v>
      </c>
      <c r="D15" s="10" t="s">
        <v>26</v>
      </c>
      <c r="E15" s="10" t="s">
        <v>86</v>
      </c>
      <c r="F15" s="10" t="s">
        <v>87</v>
      </c>
      <c r="G15" s="11" t="s">
        <v>79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5" sqref="A5:B11"/>
    </sheetView>
  </sheetViews>
  <sheetFormatPr defaultRowHeight="14.5" x14ac:dyDescent="0.35"/>
  <cols>
    <col min="1" max="1" width="16.90625" customWidth="1"/>
    <col min="2" max="2" width="12.81640625" customWidth="1"/>
  </cols>
  <sheetData>
    <row r="1" spans="1:6" x14ac:dyDescent="0.35">
      <c r="A1" s="15" t="s">
        <v>92</v>
      </c>
    </row>
    <row r="3" spans="1:6" ht="50.5" customHeight="1" x14ac:dyDescent="0.35">
      <c r="A3" s="23" t="s">
        <v>101</v>
      </c>
      <c r="B3" s="23"/>
      <c r="C3" s="23"/>
      <c r="D3" s="23"/>
      <c r="E3" s="23"/>
      <c r="F3" s="23"/>
    </row>
    <row r="4" spans="1:6" ht="58" customHeight="1" thickBot="1" x14ac:dyDescent="0.4">
      <c r="A4" s="23" t="s">
        <v>100</v>
      </c>
      <c r="B4" s="23"/>
      <c r="C4" s="23"/>
      <c r="D4" s="23"/>
      <c r="E4" s="23"/>
      <c r="F4" s="23"/>
    </row>
    <row r="5" spans="1:6" ht="29" x14ac:dyDescent="0.35">
      <c r="A5" s="19" t="s">
        <v>94</v>
      </c>
      <c r="B5" s="16" t="s">
        <v>93</v>
      </c>
    </row>
    <row r="6" spans="1:6" x14ac:dyDescent="0.35">
      <c r="A6" s="20" t="s">
        <v>95</v>
      </c>
      <c r="B6" s="17">
        <v>85</v>
      </c>
    </row>
    <row r="7" spans="1:6" x14ac:dyDescent="0.35">
      <c r="A7" s="20" t="s">
        <v>96</v>
      </c>
      <c r="B7" s="17">
        <v>175</v>
      </c>
    </row>
    <row r="8" spans="1:6" ht="15" thickBot="1" x14ac:dyDescent="0.4">
      <c r="A8" s="21" t="s">
        <v>97</v>
      </c>
      <c r="B8" s="18">
        <v>40</v>
      </c>
    </row>
    <row r="9" spans="1:6" ht="29" x14ac:dyDescent="0.35">
      <c r="A9" s="22" t="s">
        <v>99</v>
      </c>
      <c r="B9" s="16" t="s">
        <v>98</v>
      </c>
    </row>
    <row r="10" spans="1:6" x14ac:dyDescent="0.35">
      <c r="A10" s="20" t="s">
        <v>62</v>
      </c>
      <c r="B10" s="17">
        <f>1.2*B6/(B7/100)^2+0.23*B8-16.2</f>
        <v>26.306122448979597</v>
      </c>
    </row>
    <row r="11" spans="1:6" ht="15" thickBot="1" x14ac:dyDescent="0.4">
      <c r="A11" s="21" t="s">
        <v>63</v>
      </c>
      <c r="B11" s="18">
        <f>1.2*B6/(B7/100)^2+0.23*B8-5.4</f>
        <v>37.106122448979598</v>
      </c>
    </row>
  </sheetData>
  <mergeCells count="2">
    <mergeCell ref="A3:F3"/>
    <mergeCell ref="A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4.5" x14ac:dyDescent="0.35"/>
  <cols>
    <col min="2" max="2" width="50.08984375" bestFit="1" customWidth="1"/>
    <col min="3" max="3" width="52.26953125" bestFit="1" customWidth="1"/>
    <col min="4" max="4" width="35.26953125" bestFit="1" customWidth="1"/>
    <col min="5" max="5" width="13.54296875" bestFit="1" customWidth="1"/>
  </cols>
  <sheetData>
    <row r="1" spans="1:5" x14ac:dyDescent="0.35">
      <c r="A1" s="1" t="s">
        <v>11</v>
      </c>
      <c r="B1" s="1" t="s">
        <v>34</v>
      </c>
      <c r="C1" s="1" t="s">
        <v>35</v>
      </c>
      <c r="D1" s="1" t="s">
        <v>9</v>
      </c>
      <c r="E1" s="1" t="s">
        <v>14</v>
      </c>
    </row>
    <row r="2" spans="1:5" x14ac:dyDescent="0.35">
      <c r="A2">
        <v>1</v>
      </c>
      <c r="B2" t="s">
        <v>36</v>
      </c>
      <c r="C2" t="s">
        <v>16</v>
      </c>
      <c r="D2" t="s">
        <v>17</v>
      </c>
      <c r="E2" t="s">
        <v>18</v>
      </c>
    </row>
    <row r="3" spans="1:5" x14ac:dyDescent="0.35">
      <c r="A3">
        <v>2</v>
      </c>
      <c r="B3" t="s">
        <v>37</v>
      </c>
      <c r="C3" t="s">
        <v>20</v>
      </c>
      <c r="D3" t="s">
        <v>17</v>
      </c>
      <c r="E3" t="s">
        <v>18</v>
      </c>
    </row>
    <row r="4" spans="1:5" x14ac:dyDescent="0.35">
      <c r="A4">
        <v>3</v>
      </c>
      <c r="B4" t="s">
        <v>38</v>
      </c>
      <c r="C4" t="s">
        <v>22</v>
      </c>
      <c r="D4" t="s">
        <v>23</v>
      </c>
      <c r="E4" t="s">
        <v>18</v>
      </c>
    </row>
    <row r="5" spans="1:5" x14ac:dyDescent="0.35">
      <c r="A5">
        <v>4</v>
      </c>
      <c r="B5" t="s">
        <v>39</v>
      </c>
      <c r="C5" t="s">
        <v>25</v>
      </c>
      <c r="D5" t="s">
        <v>26</v>
      </c>
      <c r="E5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F3" sqref="F3"/>
    </sheetView>
  </sheetViews>
  <sheetFormatPr defaultRowHeight="14.5" x14ac:dyDescent="0.35"/>
  <cols>
    <col min="2" max="2" width="40.6328125" customWidth="1"/>
    <col min="3" max="3" width="33.81640625" customWidth="1"/>
    <col min="4" max="4" width="24.36328125" customWidth="1"/>
    <col min="5" max="5" width="24.81640625" customWidth="1"/>
    <col min="6" max="6" width="13.81640625" bestFit="1" customWidth="1"/>
    <col min="7" max="7" width="13.08984375" bestFit="1" customWidth="1"/>
  </cols>
  <sheetData>
    <row r="1" spans="1:7" x14ac:dyDescent="0.35">
      <c r="A1" s="1" t="s">
        <v>11</v>
      </c>
      <c r="B1" s="1" t="s">
        <v>40</v>
      </c>
      <c r="C1" s="1" t="s">
        <v>41</v>
      </c>
      <c r="D1" s="1" t="s">
        <v>9</v>
      </c>
      <c r="E1" s="1" t="s">
        <v>42</v>
      </c>
      <c r="F1" s="1" t="s">
        <v>14</v>
      </c>
      <c r="G1" s="2" t="s">
        <v>80</v>
      </c>
    </row>
    <row r="2" spans="1:7" ht="130.5" x14ac:dyDescent="0.35">
      <c r="A2" s="3">
        <v>1</v>
      </c>
      <c r="B2" s="3" t="s">
        <v>21</v>
      </c>
      <c r="C2" s="3" t="s">
        <v>53</v>
      </c>
      <c r="D2" s="3" t="s">
        <v>45</v>
      </c>
      <c r="E2" s="4" t="s">
        <v>71</v>
      </c>
      <c r="F2" s="3" t="s">
        <v>43</v>
      </c>
      <c r="G2" s="3" t="s">
        <v>81</v>
      </c>
    </row>
    <row r="3" spans="1:7" ht="159.5" x14ac:dyDescent="0.35">
      <c r="A3" s="3">
        <v>2</v>
      </c>
      <c r="B3" s="3" t="s">
        <v>24</v>
      </c>
      <c r="C3" s="3" t="s">
        <v>54</v>
      </c>
      <c r="D3" s="3" t="s">
        <v>26</v>
      </c>
      <c r="E3" s="5" t="s">
        <v>72</v>
      </c>
      <c r="F3" s="3" t="s">
        <v>84</v>
      </c>
      <c r="G3" s="3" t="s">
        <v>82</v>
      </c>
    </row>
    <row r="4" spans="1:7" ht="116" x14ac:dyDescent="0.35">
      <c r="A4" s="3">
        <v>3</v>
      </c>
      <c r="B4" s="3" t="s">
        <v>59</v>
      </c>
      <c r="C4" s="3" t="s">
        <v>60</v>
      </c>
      <c r="D4" s="3" t="s">
        <v>26</v>
      </c>
      <c r="E4" s="3" t="s">
        <v>44</v>
      </c>
      <c r="F4" s="3" t="s">
        <v>85</v>
      </c>
      <c r="G4" s="3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Тест-план</vt:lpstr>
      <vt:lpstr>Чек-лист</vt:lpstr>
      <vt:lpstr>формулы</vt:lpstr>
      <vt:lpstr>Тест-кейсы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2025-03-02T09:51:16Z</dcterms:created>
  <dcterms:modified xsi:type="dcterms:W3CDTF">2025-03-04T20:29:07Z</dcterms:modified>
</cp:coreProperties>
</file>